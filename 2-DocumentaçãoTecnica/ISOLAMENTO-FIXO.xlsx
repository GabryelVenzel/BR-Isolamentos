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LA" sheetId="1" r:id="rId4"/>
  </sheets>
  <definedNames/>
  <calcPr/>
</workbook>
</file>

<file path=xl/sharedStrings.xml><?xml version="1.0" encoding="utf-8"?>
<sst xmlns="http://schemas.openxmlformats.org/spreadsheetml/2006/main" count="73" uniqueCount="47">
  <si>
    <t>ISOLAMENTO FIXO</t>
  </si>
  <si>
    <t>ISOLAMENTO FIXO TÉRMICO FRIO</t>
  </si>
  <si>
    <t>D externo (mm)</t>
  </si>
  <si>
    <t>Envolvimento (m)</t>
  </si>
  <si>
    <t>Metragem</t>
  </si>
  <si>
    <t>Quantificação</t>
  </si>
  <si>
    <t>CÁLCULOS</t>
  </si>
  <si>
    <t>Linear (m)</t>
  </si>
  <si>
    <t>Quadradra (m²)</t>
  </si>
  <si>
    <t>Chapa (m²)</t>
  </si>
  <si>
    <t>Manta (m²)</t>
  </si>
  <si>
    <t>Rebites (un)</t>
  </si>
  <si>
    <t>Parafusos (un)</t>
  </si>
  <si>
    <t>Arame (m)</t>
  </si>
  <si>
    <t>Vedação (un)</t>
  </si>
  <si>
    <t>1/2"</t>
  </si>
  <si>
    <t>MANTA</t>
  </si>
  <si>
    <t>ENVOLVIMENTO + 20%</t>
  </si>
  <si>
    <t>3/4"</t>
  </si>
  <si>
    <t>CHAPA</t>
  </si>
  <si>
    <t>ENVOLVIMENTO + 30%</t>
  </si>
  <si>
    <t>1"</t>
  </si>
  <si>
    <t>REBITES</t>
  </si>
  <si>
    <t>20 POR m²</t>
  </si>
  <si>
    <t>1.1/2"</t>
  </si>
  <si>
    <t>PARAFUSOS</t>
  </si>
  <si>
    <t>2"</t>
  </si>
  <si>
    <t>ARAME</t>
  </si>
  <si>
    <t>500 gramas por m²</t>
  </si>
  <si>
    <t>VEDAÇÃO P.U.</t>
  </si>
  <si>
    <t>1 UM. A CADA 1,5m</t>
  </si>
  <si>
    <t>ISOLAMENTO FIXO TÉRMICO QUENTE</t>
  </si>
  <si>
    <t>VEDACIT EM TORNO DE 45 REAIS 360g</t>
  </si>
  <si>
    <t>x</t>
  </si>
  <si>
    <t>CONVERSÕES</t>
  </si>
  <si>
    <t>ITEM</t>
  </si>
  <si>
    <t>-------------</t>
  </si>
  <si>
    <t>UN.</t>
  </si>
  <si>
    <t>CHAPA 0,8mm x 1000mm</t>
  </si>
  <si>
    <t>kg/m²</t>
  </si>
  <si>
    <t>g/m</t>
  </si>
  <si>
    <t>2.1/2"</t>
  </si>
  <si>
    <t>3"</t>
  </si>
  <si>
    <t>4"</t>
  </si>
  <si>
    <t>5"</t>
  </si>
  <si>
    <t>6"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</si>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</sst>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1.0"/>
      <color/>
      <name val="Arial"/>
      <scheme val="minor"/>
    </font>
    <font>
      <sz val="11.0"/>
      <color/>
      <name val="Aptos Narrow"/>
    </font>
    <font/>
    <font>
      <b/>
      <sz val="11.0"/>
      <color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8D8D8"/>
        <bgColor rgb="FFD8D8D8"/>
      </patternFill>
    </fill>
  </fills>
  <borders count="4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4" fillId="0" fontId="1" numFmtId="2" xfId="0" applyAlignment="1" applyBorder="1" applyFont="1" applyNumberFormat="1">
      <alignment horizontal="center" vertical="center"/>
    </xf>
    <xf borderId="16" fillId="0" fontId="1" numFmtId="2" xfId="0" applyAlignment="1" applyBorder="1" applyFont="1" applyNumberFormat="1">
      <alignment horizontal="center" vertical="center"/>
    </xf>
    <xf borderId="13" fillId="0" fontId="1" numFmtId="2" xfId="0" applyAlignment="1" applyBorder="1" applyFont="1" applyNumberFormat="1">
      <alignment horizontal="center" vertical="center"/>
    </xf>
    <xf borderId="13" fillId="0" fontId="1" numFmtId="1" xfId="0" applyAlignment="1" applyBorder="1" applyFont="1" applyNumberFormat="1">
      <alignment horizontal="center" vertical="center"/>
    </xf>
    <xf borderId="14" fillId="0" fontId="1" numFmtId="165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3" fontId="3" numFmtId="0" xfId="0" applyAlignment="1" applyBorder="1" applyFill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21" fillId="3" fontId="1" numFmtId="164" xfId="0" applyAlignment="1" applyBorder="1" applyFont="1" applyNumberFormat="1">
      <alignment horizontal="center" vertical="center"/>
    </xf>
    <xf borderId="22" fillId="3" fontId="1" numFmtId="164" xfId="0" applyAlignment="1" applyBorder="1" applyFont="1" applyNumberFormat="1">
      <alignment horizontal="center" vertical="center"/>
    </xf>
    <xf borderId="23" fillId="3" fontId="1" numFmtId="164" xfId="0" applyAlignment="1" applyBorder="1" applyFont="1" applyNumberFormat="1">
      <alignment horizontal="center" vertical="center"/>
    </xf>
    <xf borderId="21" fillId="2" fontId="1" numFmtId="0" xfId="0" applyAlignment="1" applyBorder="1" applyFont="1">
      <alignment horizontal="center" vertical="center"/>
    </xf>
    <xf borderId="23" fillId="3" fontId="1" numFmtId="2" xfId="0" applyAlignment="1" applyBorder="1" applyFont="1" applyNumberFormat="1">
      <alignment horizontal="center" vertical="center"/>
    </xf>
    <xf borderId="24" fillId="3" fontId="1" numFmtId="2" xfId="0" applyAlignment="1" applyBorder="1" applyFont="1" applyNumberFormat="1">
      <alignment horizontal="center" vertical="center"/>
    </xf>
    <xf borderId="22" fillId="3" fontId="1" numFmtId="2" xfId="0" applyAlignment="1" applyBorder="1" applyFont="1" applyNumberFormat="1">
      <alignment horizontal="center" vertical="center"/>
    </xf>
    <xf borderId="22" fillId="3" fontId="1" numFmtId="1" xfId="0" applyAlignment="1" applyBorder="1" applyFont="1" applyNumberFormat="1">
      <alignment horizontal="center" vertical="center"/>
    </xf>
    <xf borderId="23" fillId="3" fontId="1" numFmtId="165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164" xfId="0" applyAlignment="1" applyBorder="1" applyFont="1" applyNumberForma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26" fillId="0" fontId="1" numFmtId="2" xfId="0" applyAlignment="1" applyBorder="1" applyFont="1" applyNumberFormat="1">
      <alignment horizontal="center" vertical="center"/>
    </xf>
    <xf borderId="22" fillId="0" fontId="1" numFmtId="2" xfId="0" applyAlignment="1" applyBorder="1" applyFont="1" applyNumberFormat="1">
      <alignment horizontal="center" vertical="center"/>
    </xf>
    <xf borderId="22" fillId="0" fontId="1" numFmtId="1" xfId="0" applyAlignment="1" applyBorder="1" applyFont="1" applyNumberFormat="1">
      <alignment horizontal="center" vertical="center"/>
    </xf>
    <xf borderId="23" fillId="0" fontId="1" numFmtId="165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164" xfId="0" applyAlignment="1" applyBorder="1" applyFont="1" applyNumberFormat="1">
      <alignment horizontal="center" vertical="center"/>
    </xf>
    <xf borderId="30" fillId="0" fontId="1" numFmtId="164" xfId="0" applyAlignment="1" applyBorder="1" applyFont="1" applyNumberFormat="1">
      <alignment horizontal="center" vertical="center"/>
    </xf>
    <xf borderId="31" fillId="0" fontId="1" numFmtId="164" xfId="0" applyAlignment="1" applyBorder="1" applyFont="1" applyNumberFormat="1">
      <alignment horizontal="center" vertical="center"/>
    </xf>
    <xf borderId="29" fillId="2" fontId="1" numFmtId="0" xfId="0" applyAlignment="1" applyBorder="1" applyFon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2" fillId="0" fontId="1" numFmtId="2" xfId="0" applyAlignment="1" applyBorder="1" applyFont="1" applyNumberFormat="1">
      <alignment horizontal="center" vertical="center"/>
    </xf>
    <xf borderId="30" fillId="0" fontId="1" numFmtId="2" xfId="0" applyAlignment="1" applyBorder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1" numFmtId="165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3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37" fillId="0" fontId="1" numFmtId="164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38" fillId="0" fontId="1" numFmtId="2" xfId="0" applyAlignment="1" applyBorder="1" applyFont="1" applyNumberFormat="1">
      <alignment horizontal="center" vertical="center"/>
    </xf>
    <xf borderId="37" fillId="0" fontId="1" numFmtId="2" xfId="0" applyAlignment="1" applyBorder="1" applyFont="1" applyNumberFormat="1">
      <alignment horizontal="center" vertical="center"/>
    </xf>
    <xf borderId="37" fillId="0" fontId="1" numFmtId="1" xfId="0" applyAlignment="1" applyBorder="1" applyFont="1" applyNumberFormat="1">
      <alignment horizontal="center" vertical="center"/>
    </xf>
    <xf borderId="18" fillId="0" fontId="1" numFmtId="165" xfId="0" applyAlignment="1" applyBorder="1" applyFont="1" applyNumberFormat="1">
      <alignment horizontal="center" vertical="center"/>
    </xf>
    <xf borderId="20" fillId="3" fontId="3" numFmtId="0" xfId="0" applyAlignment="1" applyBorder="1" applyFont="1">
      <alignment horizontal="center" vertical="center"/>
    </xf>
    <xf borderId="39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quotePrefix="1"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 vertical="center"/>
    </xf>
    <xf borderId="41" fillId="3" fontId="1" numFmtId="0" xfId="0" applyAlignment="1" applyBorder="1" applyFont="1">
      <alignment horizontal="center" vertical="center"/>
    </xf>
    <xf borderId="29" fillId="3" fontId="1" numFmtId="164" xfId="0" applyAlignment="1" applyBorder="1" applyFont="1" applyNumberFormat="1">
      <alignment horizontal="center" vertical="center"/>
    </xf>
    <xf borderId="30" fillId="3" fontId="1" numFmtId="164" xfId="0" applyAlignment="1" applyBorder="1" applyFont="1" applyNumberFormat="1">
      <alignment horizontal="center" vertical="center"/>
    </xf>
    <xf borderId="31" fillId="3" fontId="1" numFmtId="164" xfId="0" applyAlignment="1" applyBorder="1" applyFont="1" applyNumberFormat="1">
      <alignment horizontal="center" vertical="center"/>
    </xf>
    <xf borderId="31" fillId="3" fontId="1" numFmtId="2" xfId="0" applyAlignment="1" applyBorder="1" applyFont="1" applyNumberFormat="1">
      <alignment horizontal="center" vertical="center"/>
    </xf>
    <xf borderId="42" fillId="3" fontId="1" numFmtId="2" xfId="0" applyAlignment="1" applyBorder="1" applyFont="1" applyNumberFormat="1">
      <alignment horizontal="center" vertical="center"/>
    </xf>
    <xf borderId="30" fillId="3" fontId="1" numFmtId="2" xfId="0" applyAlignment="1" applyBorder="1" applyFont="1" applyNumberFormat="1">
      <alignment horizontal="center" vertical="center"/>
    </xf>
    <xf borderId="30" fillId="3" fontId="1" numFmtId="1" xfId="0" applyAlignment="1" applyBorder="1" applyFont="1" applyNumberFormat="1">
      <alignment horizontal="center" vertical="center"/>
    </xf>
    <xf borderId="31" fillId="3" fontId="1" numFmtId="165" xfId="0" applyAlignment="1" applyBorder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quotePrefix="1"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20.57"/>
    <col customWidth="1" min="4" max="6" width="8.71"/>
    <col customWidth="1" min="7" max="7" width="15.29"/>
    <col customWidth="1" min="8" max="8" width="8.71"/>
    <col customWidth="1" min="9" max="9" width="12.57"/>
    <col customWidth="1" min="10" max="11" width="8.71"/>
    <col customWidth="1" min="12" max="12" width="15.43"/>
    <col customWidth="1" min="13" max="13" width="19.14"/>
    <col customWidth="1" min="14" max="16" width="13.71"/>
    <col customWidth="1" min="17" max="17" width="14.86"/>
    <col customWidth="1" min="18" max="18" width="10.29"/>
    <col customWidth="1" min="19" max="19" width="13.57"/>
    <col customWidth="1" min="20" max="23" width="8.71"/>
  </cols>
  <sheetData>
    <row r="2">
      <c r="B2" s="1" t="s">
        <v>0</v>
      </c>
      <c r="C2" s="2"/>
      <c r="E2" s="3"/>
      <c r="F2" s="3"/>
      <c r="G2" s="4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2"/>
      <c r="T2" s="3"/>
      <c r="U2" s="3"/>
      <c r="V2" s="3"/>
      <c r="W2" s="3"/>
    </row>
    <row r="3">
      <c r="B3" s="3"/>
      <c r="C3" s="3"/>
      <c r="E3" s="3"/>
      <c r="F3" s="3"/>
      <c r="G3" s="6" t="s">
        <v>2</v>
      </c>
      <c r="H3" s="4" t="s">
        <v>3</v>
      </c>
      <c r="I3" s="5"/>
      <c r="J3" s="5"/>
      <c r="K3" s="2"/>
      <c r="L3" s="4" t="s">
        <v>4</v>
      </c>
      <c r="M3" s="2"/>
      <c r="N3" s="4" t="s">
        <v>5</v>
      </c>
      <c r="O3" s="5"/>
      <c r="P3" s="5"/>
      <c r="Q3" s="5"/>
      <c r="R3" s="5"/>
      <c r="S3" s="2"/>
      <c r="T3" s="3"/>
      <c r="U3" s="3"/>
      <c r="V3" s="3"/>
      <c r="W3" s="3"/>
    </row>
    <row r="4">
      <c r="B4" s="1" t="s">
        <v>6</v>
      </c>
      <c r="C4" s="2"/>
      <c r="E4" s="3"/>
      <c r="F4" s="3"/>
      <c r="G4" s="7"/>
      <c r="H4" s="8">
        <v>13.0</v>
      </c>
      <c r="I4" s="9">
        <v>25.0</v>
      </c>
      <c r="J4" s="9">
        <v>38.0</v>
      </c>
      <c r="K4" s="10">
        <v>51.0</v>
      </c>
      <c r="L4" s="8" t="s">
        <v>7</v>
      </c>
      <c r="M4" s="10" t="s">
        <v>8</v>
      </c>
      <c r="N4" s="11" t="s">
        <v>9</v>
      </c>
      <c r="O4" s="9" t="s">
        <v>10</v>
      </c>
      <c r="P4" s="9" t="s">
        <v>11</v>
      </c>
      <c r="Q4" s="9" t="s">
        <v>12</v>
      </c>
      <c r="R4" s="9" t="s">
        <v>13</v>
      </c>
      <c r="S4" s="10" t="s">
        <v>14</v>
      </c>
      <c r="T4" s="3"/>
      <c r="U4" s="3"/>
      <c r="V4" s="3"/>
      <c r="W4" s="3"/>
    </row>
    <row r="5">
      <c r="B5" s="3"/>
      <c r="C5" s="3"/>
      <c r="E5" s="3"/>
      <c r="F5" s="12" t="s">
        <v>15</v>
      </c>
      <c r="G5" s="13">
        <v>21.3</v>
      </c>
      <c r="H5" s="14" t="str">
        <f t="shared" ref="H5:H9" si="1">((($G5+$H$4)*3.1415)+($H$4*2))/1000</f>
        <v>0.134</v>
      </c>
      <c r="I5" s="15" t="str">
        <f t="shared" ref="I5:I9" si="2">((($G5+$I$4)*3.1415)+($I$4*2))/1000</f>
        <v>0.195</v>
      </c>
      <c r="J5" s="15" t="str">
        <f t="shared" ref="J5:J9" si="3">((($G5+$J$4)*3.1415)+($J$4*2))/1000</f>
        <v>0.262</v>
      </c>
      <c r="K5" s="16" t="str">
        <f t="shared" ref="K5:K9" si="4">((($G5+$K$4)*3.1415)+($K$4*2))/1000</f>
        <v>0.329</v>
      </c>
      <c r="L5" s="17"/>
      <c r="M5" s="18" t="str">
        <f t="shared" ref="M5:M6" si="5">L5*I5</f>
        <v>0.00</v>
      </c>
      <c r="N5" s="19" t="str">
        <f t="shared" ref="N5:N9" si="6">M5*1.3</f>
        <v>0.00</v>
      </c>
      <c r="O5" s="20" t="str">
        <f t="shared" ref="O5:O9" si="7">M5*1.2</f>
        <v>0.00</v>
      </c>
      <c r="P5" s="21" t="str">
        <f t="shared" ref="P5:P9" si="8">M5*20</f>
        <v>0</v>
      </c>
      <c r="Q5" s="21" t="str">
        <f t="shared" ref="Q5:Q9" si="9">M5*20</f>
        <v>0</v>
      </c>
      <c r="R5" s="21" t="str">
        <f t="shared" ref="R5:R9" si="10">(500/$C$18)*M5</f>
        <v>0</v>
      </c>
      <c r="S5" s="22" t="str">
        <f t="shared" ref="S5:S9" si="11">M5/1.5</f>
        <v>0.0</v>
      </c>
      <c r="T5" s="3"/>
      <c r="U5" s="3"/>
      <c r="V5" s="3"/>
      <c r="W5" s="3"/>
    </row>
    <row r="6">
      <c r="B6" s="23" t="s">
        <v>16</v>
      </c>
      <c r="C6" s="24" t="s">
        <v>17</v>
      </c>
      <c r="E6" s="3"/>
      <c r="F6" s="25" t="s">
        <v>18</v>
      </c>
      <c r="G6" s="26">
        <v>26.6</v>
      </c>
      <c r="H6" s="27" t="str">
        <f t="shared" si="1"/>
        <v>0.150</v>
      </c>
      <c r="I6" s="28" t="str">
        <f t="shared" si="2"/>
        <v>0.212</v>
      </c>
      <c r="J6" s="28" t="str">
        <f t="shared" si="3"/>
        <v>0.279</v>
      </c>
      <c r="K6" s="29" t="str">
        <f t="shared" si="4"/>
        <v>0.346</v>
      </c>
      <c r="L6" s="30"/>
      <c r="M6" s="31" t="str">
        <f t="shared" si="5"/>
        <v>0.00</v>
      </c>
      <c r="N6" s="32" t="str">
        <f t="shared" si="6"/>
        <v>0.00</v>
      </c>
      <c r="O6" s="33" t="str">
        <f t="shared" si="7"/>
        <v>0.00</v>
      </c>
      <c r="P6" s="34" t="str">
        <f t="shared" si="8"/>
        <v>0</v>
      </c>
      <c r="Q6" s="34" t="str">
        <f t="shared" si="9"/>
        <v>0</v>
      </c>
      <c r="R6" s="34" t="str">
        <f t="shared" si="10"/>
        <v>0</v>
      </c>
      <c r="S6" s="35" t="str">
        <f t="shared" si="11"/>
        <v>0.0</v>
      </c>
      <c r="T6" s="3"/>
      <c r="U6" s="3"/>
      <c r="V6" s="3"/>
      <c r="W6" s="3"/>
    </row>
    <row r="7">
      <c r="B7" s="36" t="s">
        <v>19</v>
      </c>
      <c r="C7" s="37" t="s">
        <v>20</v>
      </c>
      <c r="E7" s="3"/>
      <c r="F7" s="38" t="s">
        <v>21</v>
      </c>
      <c r="G7" s="39">
        <v>33.4</v>
      </c>
      <c r="H7" s="40" t="str">
        <f t="shared" si="1"/>
        <v>0.172</v>
      </c>
      <c r="I7" s="41" t="str">
        <f t="shared" si="2"/>
        <v>0.233</v>
      </c>
      <c r="J7" s="41" t="str">
        <f t="shared" si="3"/>
        <v>0.300</v>
      </c>
      <c r="K7" s="42" t="str">
        <f t="shared" si="4"/>
        <v>0.367</v>
      </c>
      <c r="L7" s="30"/>
      <c r="M7" s="43" t="str">
        <f>L7*K7</f>
        <v>0.00</v>
      </c>
      <c r="N7" s="44" t="str">
        <f t="shared" si="6"/>
        <v>0.00</v>
      </c>
      <c r="O7" s="45" t="str">
        <f t="shared" si="7"/>
        <v>0.00</v>
      </c>
      <c r="P7" s="46" t="str">
        <f t="shared" si="8"/>
        <v>0</v>
      </c>
      <c r="Q7" s="46" t="str">
        <f t="shared" si="9"/>
        <v>0</v>
      </c>
      <c r="R7" s="46" t="str">
        <f t="shared" si="10"/>
        <v>0</v>
      </c>
      <c r="S7" s="47" t="str">
        <f t="shared" si="11"/>
        <v>0.0</v>
      </c>
      <c r="T7" s="3"/>
      <c r="U7" s="3"/>
      <c r="V7" s="3"/>
      <c r="W7" s="3"/>
    </row>
    <row r="8">
      <c r="B8" s="36" t="s">
        <v>22</v>
      </c>
      <c r="C8" s="37" t="s">
        <v>23</v>
      </c>
      <c r="E8" s="3"/>
      <c r="F8" s="25" t="s">
        <v>24</v>
      </c>
      <c r="G8" s="26">
        <v>48.3</v>
      </c>
      <c r="H8" s="27" t="str">
        <f t="shared" si="1"/>
        <v>0.219</v>
      </c>
      <c r="I8" s="28" t="str">
        <f t="shared" si="2"/>
        <v>0.280</v>
      </c>
      <c r="J8" s="28" t="str">
        <f t="shared" si="3"/>
        <v>0.347</v>
      </c>
      <c r="K8" s="29" t="str">
        <f t="shared" si="4"/>
        <v>0.414</v>
      </c>
      <c r="L8" s="30"/>
      <c r="M8" s="31" t="str">
        <f t="shared" ref="M8:M9" si="12">L8*I8</f>
        <v>0.00</v>
      </c>
      <c r="N8" s="32" t="str">
        <f t="shared" si="6"/>
        <v>0.00</v>
      </c>
      <c r="O8" s="33" t="str">
        <f t="shared" si="7"/>
        <v>0.00</v>
      </c>
      <c r="P8" s="34" t="str">
        <f t="shared" si="8"/>
        <v>0</v>
      </c>
      <c r="Q8" s="34" t="str">
        <f t="shared" si="9"/>
        <v>0</v>
      </c>
      <c r="R8" s="34" t="str">
        <f t="shared" si="10"/>
        <v>0</v>
      </c>
      <c r="S8" s="35" t="str">
        <f t="shared" si="11"/>
        <v>0.0</v>
      </c>
      <c r="T8" s="3"/>
      <c r="U8" s="3"/>
      <c r="V8" s="3"/>
      <c r="W8" s="3"/>
    </row>
    <row r="9">
      <c r="B9" s="36" t="s">
        <v>25</v>
      </c>
      <c r="C9" s="37" t="s">
        <v>23</v>
      </c>
      <c r="E9" s="3"/>
      <c r="F9" s="48" t="s">
        <v>26</v>
      </c>
      <c r="G9" s="49">
        <v>60.3</v>
      </c>
      <c r="H9" s="50" t="str">
        <f t="shared" si="1"/>
        <v>0.256</v>
      </c>
      <c r="I9" s="51" t="str">
        <f t="shared" si="2"/>
        <v>0.318</v>
      </c>
      <c r="J9" s="51" t="str">
        <f t="shared" si="3"/>
        <v>0.385</v>
      </c>
      <c r="K9" s="52" t="str">
        <f t="shared" si="4"/>
        <v>0.452</v>
      </c>
      <c r="L9" s="53">
        <v>1.0</v>
      </c>
      <c r="M9" s="54" t="str">
        <f t="shared" si="12"/>
        <v>0.32</v>
      </c>
      <c r="N9" s="55" t="str">
        <f t="shared" si="6"/>
        <v>0.41</v>
      </c>
      <c r="O9" s="56" t="str">
        <f t="shared" si="7"/>
        <v>0.38</v>
      </c>
      <c r="P9" s="57" t="str">
        <f t="shared" si="8"/>
        <v>6</v>
      </c>
      <c r="Q9" s="57" t="str">
        <f t="shared" si="9"/>
        <v>6</v>
      </c>
      <c r="R9" s="57" t="str">
        <f t="shared" si="10"/>
        <v>32</v>
      </c>
      <c r="S9" s="58" t="str">
        <f t="shared" si="11"/>
        <v>0.2</v>
      </c>
      <c r="T9" s="3"/>
      <c r="U9" s="3"/>
      <c r="V9" s="3"/>
      <c r="W9" s="3"/>
    </row>
    <row r="10">
      <c r="B10" s="36" t="s">
        <v>27</v>
      </c>
      <c r="C10" s="37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B11" s="59" t="s">
        <v>29</v>
      </c>
      <c r="C11" s="60" t="s">
        <v>30</v>
      </c>
      <c r="E11" s="3"/>
      <c r="F11" s="3"/>
      <c r="G11" s="4" t="s">
        <v>31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2"/>
      <c r="T11" s="3"/>
      <c r="U11" s="3"/>
      <c r="V11" s="3"/>
      <c r="W11" s="3"/>
    </row>
    <row r="12">
      <c r="B12" s="1" t="s">
        <v>32</v>
      </c>
      <c r="C12" s="2"/>
      <c r="E12" s="3"/>
      <c r="F12" s="3"/>
      <c r="G12" s="61" t="s">
        <v>2</v>
      </c>
      <c r="H12" s="4" t="s">
        <v>3</v>
      </c>
      <c r="I12" s="5"/>
      <c r="J12" s="5"/>
      <c r="K12" s="2"/>
      <c r="L12" s="4" t="s">
        <v>4</v>
      </c>
      <c r="M12" s="2"/>
      <c r="N12" s="62" t="s">
        <v>5</v>
      </c>
      <c r="O12" s="5"/>
      <c r="P12" s="5"/>
      <c r="Q12" s="5"/>
      <c r="R12" s="5"/>
      <c r="S12" s="2"/>
      <c r="T12" s="3"/>
      <c r="U12" s="3"/>
      <c r="V12" s="3"/>
      <c r="W12" s="3"/>
    </row>
    <row r="13">
      <c r="B13" s="3"/>
      <c r="C13" s="3"/>
      <c r="E13" s="3"/>
      <c r="F13" s="3"/>
      <c r="G13" s="63"/>
      <c r="H13" s="8">
        <v>13.0</v>
      </c>
      <c r="I13" s="9">
        <v>25.0</v>
      </c>
      <c r="J13" s="9">
        <v>38.0</v>
      </c>
      <c r="K13" s="10">
        <v>51.0</v>
      </c>
      <c r="L13" s="8" t="s">
        <v>7</v>
      </c>
      <c r="M13" s="10" t="s">
        <v>8</v>
      </c>
      <c r="N13" s="11" t="s">
        <v>9</v>
      </c>
      <c r="O13" s="9" t="s">
        <v>10</v>
      </c>
      <c r="P13" s="9" t="s">
        <v>11</v>
      </c>
      <c r="Q13" s="9" t="s">
        <v>12</v>
      </c>
      <c r="R13" s="9" t="s">
        <v>13</v>
      </c>
      <c r="S13" s="10" t="s">
        <v>14</v>
      </c>
      <c r="T13" s="3"/>
      <c r="U13" s="3"/>
      <c r="V13" s="3"/>
      <c r="W13" s="3"/>
    </row>
    <row r="14">
      <c r="A14" s="3"/>
      <c r="B14" s="3"/>
      <c r="C14" s="3"/>
      <c r="D14" s="3"/>
      <c r="E14" s="3"/>
      <c r="F14" s="64" t="s">
        <v>15</v>
      </c>
      <c r="G14" s="65">
        <v>21.3</v>
      </c>
      <c r="H14" s="66" t="str">
        <f t="shared" ref="H14:K14" si="13">((($G14+H$13)*3.1415)+(H$13*2))/1000</f>
        <v>0.134</v>
      </c>
      <c r="I14" s="67" t="str">
        <f t="shared" si="13"/>
        <v>0.195</v>
      </c>
      <c r="J14" s="67" t="str">
        <f t="shared" si="13"/>
        <v>0.262</v>
      </c>
      <c r="K14" s="68" t="str">
        <f t="shared" si="13"/>
        <v>0.329</v>
      </c>
      <c r="L14" s="17">
        <v>1.0</v>
      </c>
      <c r="M14" s="18" t="str">
        <f t="shared" ref="M14:M23" si="15">L14*K14</f>
        <v>0.33</v>
      </c>
      <c r="N14" s="69" t="str">
        <f t="shared" ref="N14:N23" si="16">M14*1.3</f>
        <v>0.43</v>
      </c>
      <c r="O14" s="70" t="str">
        <f t="shared" ref="O14:O23" si="17">M14*1.2</f>
        <v>0.39</v>
      </c>
      <c r="P14" s="71" t="str">
        <f t="shared" ref="P14:P23" si="18">M14*20</f>
        <v>7</v>
      </c>
      <c r="Q14" s="71" t="str">
        <f t="shared" ref="Q14:Q23" si="19">M14*20</f>
        <v>7</v>
      </c>
      <c r="R14" s="71" t="str">
        <f t="shared" ref="R14:R23" si="20">(500/$C$18)*M14</f>
        <v>33</v>
      </c>
      <c r="S14" s="72" t="str">
        <f t="shared" ref="S14:S23" si="21">M14/1.5</f>
        <v>0.2</v>
      </c>
      <c r="T14" s="3" t="s">
        <v>33</v>
      </c>
      <c r="U14" s="3"/>
      <c r="V14" s="3"/>
      <c r="W14" s="3"/>
    </row>
    <row r="15">
      <c r="A15" s="3"/>
      <c r="B15" s="1" t="s">
        <v>34</v>
      </c>
      <c r="C15" s="5"/>
      <c r="D15" s="2"/>
      <c r="E15" s="3"/>
      <c r="F15" s="73" t="s">
        <v>18</v>
      </c>
      <c r="G15" s="74">
        <v>26.6</v>
      </c>
      <c r="H15" s="27" t="str">
        <f t="shared" ref="H15:K15" si="14">((($G15+H$13)*3.1415)+(H$13*2))/1000</f>
        <v>0.150</v>
      </c>
      <c r="I15" s="28" t="str">
        <f t="shared" si="14"/>
        <v>0.212</v>
      </c>
      <c r="J15" s="28" t="str">
        <f t="shared" si="14"/>
        <v>0.279</v>
      </c>
      <c r="K15" s="29" t="str">
        <f t="shared" si="14"/>
        <v>0.346</v>
      </c>
      <c r="L15" s="30">
        <v>0.0</v>
      </c>
      <c r="M15" s="31" t="str">
        <f t="shared" si="15"/>
        <v>0.00</v>
      </c>
      <c r="N15" s="32" t="str">
        <f t="shared" si="16"/>
        <v>0.00</v>
      </c>
      <c r="O15" s="33" t="str">
        <f t="shared" si="17"/>
        <v>0.00</v>
      </c>
      <c r="P15" s="34" t="str">
        <f t="shared" si="18"/>
        <v>0</v>
      </c>
      <c r="Q15" s="34" t="str">
        <f t="shared" si="19"/>
        <v>0</v>
      </c>
      <c r="R15" s="34" t="str">
        <f t="shared" si="20"/>
        <v>0</v>
      </c>
      <c r="S15" s="35" t="str">
        <f t="shared" si="21"/>
        <v>0.0</v>
      </c>
      <c r="T15" s="3" t="s">
        <v>33</v>
      </c>
      <c r="U15" s="3"/>
      <c r="V15" s="3"/>
      <c r="W15" s="3"/>
    </row>
    <row r="16">
      <c r="A16" s="3"/>
      <c r="B16" s="75" t="s">
        <v>35</v>
      </c>
      <c r="C16" s="76" t="s">
        <v>36</v>
      </c>
      <c r="D16" s="77" t="s">
        <v>37</v>
      </c>
      <c r="E16" s="3"/>
      <c r="F16" s="78" t="s">
        <v>21</v>
      </c>
      <c r="G16" s="79">
        <v>33.4</v>
      </c>
      <c r="H16" s="40" t="str">
        <f t="shared" ref="H16:K16" si="22">((($G16+H$13)*3.1415)+(H$13*2))/1000</f>
        <v>0.172</v>
      </c>
      <c r="I16" s="41" t="str">
        <f t="shared" si="22"/>
        <v>0.233</v>
      </c>
      <c r="J16" s="41" t="str">
        <f t="shared" si="22"/>
        <v>0.300</v>
      </c>
      <c r="K16" s="42" t="str">
        <f t="shared" si="22"/>
        <v>0.367</v>
      </c>
      <c r="L16" s="30">
        <v>1.0</v>
      </c>
      <c r="M16" s="43" t="str">
        <f t="shared" si="15"/>
        <v>0.37</v>
      </c>
      <c r="N16" s="44" t="str">
        <f t="shared" si="16"/>
        <v>0.48</v>
      </c>
      <c r="O16" s="45" t="str">
        <f t="shared" si="17"/>
        <v>0.44</v>
      </c>
      <c r="P16" s="46" t="str">
        <f t="shared" si="18"/>
        <v>7</v>
      </c>
      <c r="Q16" s="46" t="str">
        <f t="shared" si="19"/>
        <v>7</v>
      </c>
      <c r="R16" s="46" t="str">
        <f t="shared" si="20"/>
        <v>37</v>
      </c>
      <c r="S16" s="47" t="str">
        <f t="shared" si="21"/>
        <v>0.2</v>
      </c>
      <c r="T16" s="3" t="s">
        <v>33</v>
      </c>
      <c r="U16" s="3"/>
      <c r="V16" s="3"/>
      <c r="W16" s="3"/>
    </row>
    <row r="17">
      <c r="A17" s="3"/>
      <c r="B17" s="36" t="s">
        <v>38</v>
      </c>
      <c r="C17" s="80">
        <v>2.16</v>
      </c>
      <c r="D17" s="37" t="s">
        <v>39</v>
      </c>
      <c r="E17" s="3"/>
      <c r="F17" s="73" t="s">
        <v>24</v>
      </c>
      <c r="G17" s="74">
        <v>48.3</v>
      </c>
      <c r="H17" s="27" t="str">
        <f t="shared" ref="H17:K17" si="23">((($G17+H$13)*3.1415)+(H$13*2))/1000</f>
        <v>0.219</v>
      </c>
      <c r="I17" s="28" t="str">
        <f t="shared" si="23"/>
        <v>0.280</v>
      </c>
      <c r="J17" s="28" t="str">
        <f t="shared" si="23"/>
        <v>0.347</v>
      </c>
      <c r="K17" s="29" t="str">
        <f t="shared" si="23"/>
        <v>0.414</v>
      </c>
      <c r="L17" s="30">
        <v>1.0</v>
      </c>
      <c r="M17" s="31" t="str">
        <f t="shared" si="15"/>
        <v>0.41</v>
      </c>
      <c r="N17" s="32" t="str">
        <f t="shared" si="16"/>
        <v>0.54</v>
      </c>
      <c r="O17" s="33" t="str">
        <f t="shared" si="17"/>
        <v>0.50</v>
      </c>
      <c r="P17" s="34" t="str">
        <f t="shared" si="18"/>
        <v>8</v>
      </c>
      <c r="Q17" s="34" t="str">
        <f t="shared" si="19"/>
        <v>8</v>
      </c>
      <c r="R17" s="34" t="str">
        <f t="shared" si="20"/>
        <v>41</v>
      </c>
      <c r="S17" s="35" t="str">
        <f t="shared" si="21"/>
        <v>0.3</v>
      </c>
      <c r="T17" s="3" t="s">
        <v>33</v>
      </c>
      <c r="U17" s="3"/>
      <c r="V17" s="3"/>
      <c r="W17" s="3"/>
    </row>
    <row r="18">
      <c r="A18" s="3"/>
      <c r="B18" s="59" t="s">
        <v>27</v>
      </c>
      <c r="C18" s="81">
        <v>5.0</v>
      </c>
      <c r="D18" s="60" t="s">
        <v>40</v>
      </c>
      <c r="E18" s="3"/>
      <c r="F18" s="78" t="s">
        <v>26</v>
      </c>
      <c r="G18" s="79">
        <v>60.3</v>
      </c>
      <c r="H18" s="40" t="str">
        <f t="shared" ref="H18:K18" si="24">((($G18+H$13)*3.1415)+(H$13*2))/1000</f>
        <v>0.256</v>
      </c>
      <c r="I18" s="41" t="str">
        <f t="shared" si="24"/>
        <v>0.318</v>
      </c>
      <c r="J18" s="41" t="str">
        <f t="shared" si="24"/>
        <v>0.385</v>
      </c>
      <c r="K18" s="42" t="str">
        <f t="shared" si="24"/>
        <v>0.452</v>
      </c>
      <c r="L18" s="30">
        <v>1.0</v>
      </c>
      <c r="M18" s="43" t="str">
        <f t="shared" si="15"/>
        <v>0.45</v>
      </c>
      <c r="N18" s="44" t="str">
        <f t="shared" si="16"/>
        <v>0.59</v>
      </c>
      <c r="O18" s="45" t="str">
        <f t="shared" si="17"/>
        <v>0.54</v>
      </c>
      <c r="P18" s="46" t="str">
        <f t="shared" si="18"/>
        <v>9</v>
      </c>
      <c r="Q18" s="46" t="str">
        <f t="shared" si="19"/>
        <v>9</v>
      </c>
      <c r="R18" s="46" t="str">
        <f t="shared" si="20"/>
        <v>45</v>
      </c>
      <c r="S18" s="47" t="str">
        <f t="shared" si="21"/>
        <v>0.3</v>
      </c>
      <c r="T18" s="3" t="s">
        <v>33</v>
      </c>
      <c r="U18" s="3"/>
      <c r="V18" s="3"/>
      <c r="W18" s="3"/>
    </row>
    <row r="19">
      <c r="A19" s="3"/>
      <c r="B19" s="3"/>
      <c r="C19" s="3"/>
      <c r="D19" s="3"/>
      <c r="E19" s="3"/>
      <c r="F19" s="73" t="s">
        <v>41</v>
      </c>
      <c r="G19" s="74">
        <v>73.0</v>
      </c>
      <c r="H19" s="27" t="str">
        <f t="shared" ref="H19:K19" si="25">((($G19+H$13)*3.1415)+(H$13*2))/1000</f>
        <v>0.296</v>
      </c>
      <c r="I19" s="28" t="str">
        <f t="shared" si="25"/>
        <v>0.358</v>
      </c>
      <c r="J19" s="28" t="str">
        <f t="shared" si="25"/>
        <v>0.425</v>
      </c>
      <c r="K19" s="29" t="str">
        <f t="shared" si="25"/>
        <v>0.492</v>
      </c>
      <c r="L19" s="30">
        <v>1.0</v>
      </c>
      <c r="M19" s="31" t="str">
        <f t="shared" si="15"/>
        <v>0.49</v>
      </c>
      <c r="N19" s="32" t="str">
        <f t="shared" si="16"/>
        <v>0.64</v>
      </c>
      <c r="O19" s="33" t="str">
        <f t="shared" si="17"/>
        <v>0.59</v>
      </c>
      <c r="P19" s="34" t="str">
        <f t="shared" si="18"/>
        <v>10</v>
      </c>
      <c r="Q19" s="34" t="str">
        <f t="shared" si="19"/>
        <v>10</v>
      </c>
      <c r="R19" s="34" t="str">
        <f t="shared" si="20"/>
        <v>49</v>
      </c>
      <c r="S19" s="35" t="str">
        <f t="shared" si="21"/>
        <v>0.3</v>
      </c>
      <c r="T19" s="3" t="s">
        <v>33</v>
      </c>
      <c r="U19" s="3"/>
      <c r="V19" s="3"/>
      <c r="W19" s="3"/>
    </row>
    <row r="20">
      <c r="A20" s="3"/>
      <c r="B20" s="3"/>
      <c r="C20" s="3"/>
      <c r="D20" s="3"/>
      <c r="E20" s="3"/>
      <c r="F20" s="78" t="s">
        <v>42</v>
      </c>
      <c r="G20" s="79">
        <v>88.9</v>
      </c>
      <c r="H20" s="40" t="str">
        <f t="shared" ref="H20:K20" si="26">((($G20+H$13)*3.1415)+(H$13*2))/1000</f>
        <v>0.346</v>
      </c>
      <c r="I20" s="41" t="str">
        <f t="shared" si="26"/>
        <v>0.408</v>
      </c>
      <c r="J20" s="41" t="str">
        <f t="shared" si="26"/>
        <v>0.475</v>
      </c>
      <c r="K20" s="42" t="str">
        <f t="shared" si="26"/>
        <v>0.541</v>
      </c>
      <c r="L20" s="30">
        <v>1.0</v>
      </c>
      <c r="M20" s="43" t="str">
        <f t="shared" si="15"/>
        <v>0.54</v>
      </c>
      <c r="N20" s="44" t="str">
        <f t="shared" si="16"/>
        <v>0.70</v>
      </c>
      <c r="O20" s="45" t="str">
        <f t="shared" si="17"/>
        <v>0.65</v>
      </c>
      <c r="P20" s="46" t="str">
        <f t="shared" si="18"/>
        <v>11</v>
      </c>
      <c r="Q20" s="46" t="str">
        <f t="shared" si="19"/>
        <v>11</v>
      </c>
      <c r="R20" s="46" t="str">
        <f t="shared" si="20"/>
        <v>54</v>
      </c>
      <c r="S20" s="47" t="str">
        <f t="shared" si="21"/>
        <v>0.4</v>
      </c>
      <c r="T20" s="3" t="s">
        <v>33</v>
      </c>
    </row>
    <row r="21" ht="15.75" customHeight="1">
      <c r="A21" s="3"/>
      <c r="B21" s="3"/>
      <c r="C21" s="3"/>
      <c r="D21" s="3"/>
      <c r="E21" s="3"/>
      <c r="F21" s="73" t="s">
        <v>43</v>
      </c>
      <c r="G21" s="74">
        <v>114.3</v>
      </c>
      <c r="H21" s="27" t="str">
        <f t="shared" ref="H21:K21" si="27">((($G21+H$13)*3.1415)+(H$13*2))/1000</f>
        <v>0.426</v>
      </c>
      <c r="I21" s="28" t="str">
        <f t="shared" si="27"/>
        <v>0.488</v>
      </c>
      <c r="J21" s="28" t="str">
        <f t="shared" si="27"/>
        <v>0.554</v>
      </c>
      <c r="K21" s="29" t="str">
        <f t="shared" si="27"/>
        <v>0.621</v>
      </c>
      <c r="L21" s="30">
        <v>1.0</v>
      </c>
      <c r="M21" s="31" t="str">
        <f t="shared" si="15"/>
        <v>0.62</v>
      </c>
      <c r="N21" s="32" t="str">
        <f t="shared" si="16"/>
        <v>0.81</v>
      </c>
      <c r="O21" s="33" t="str">
        <f t="shared" si="17"/>
        <v>0.75</v>
      </c>
      <c r="P21" s="34" t="str">
        <f t="shared" si="18"/>
        <v>12</v>
      </c>
      <c r="Q21" s="34" t="str">
        <f t="shared" si="19"/>
        <v>12</v>
      </c>
      <c r="R21" s="34" t="str">
        <f t="shared" si="20"/>
        <v>62</v>
      </c>
      <c r="S21" s="35" t="str">
        <f t="shared" si="21"/>
        <v>0.4</v>
      </c>
      <c r="T21" s="3" t="s">
        <v>33</v>
      </c>
    </row>
    <row r="22" ht="15.75" customHeight="1">
      <c r="A22" s="3"/>
      <c r="B22" s="3"/>
      <c r="C22" s="3"/>
      <c r="D22" s="3"/>
      <c r="E22" s="3"/>
      <c r="F22" s="78" t="s">
        <v>44</v>
      </c>
      <c r="G22" s="79">
        <v>141.3</v>
      </c>
      <c r="H22" s="40" t="str">
        <f t="shared" ref="H22:K22" si="28">((($G22+H$13)*3.1415)+(H$13*2))/1000</f>
        <v>0.511</v>
      </c>
      <c r="I22" s="41" t="str">
        <f t="shared" si="28"/>
        <v>0.572</v>
      </c>
      <c r="J22" s="41" t="str">
        <f t="shared" si="28"/>
        <v>0.639</v>
      </c>
      <c r="K22" s="42" t="str">
        <f t="shared" si="28"/>
        <v>0.706</v>
      </c>
      <c r="L22" s="30">
        <v>1.0</v>
      </c>
      <c r="M22" s="43" t="str">
        <f t="shared" si="15"/>
        <v>0.71</v>
      </c>
      <c r="N22" s="44" t="str">
        <f t="shared" si="16"/>
        <v>0.92</v>
      </c>
      <c r="O22" s="45" t="str">
        <f t="shared" si="17"/>
        <v>0.85</v>
      </c>
      <c r="P22" s="46" t="str">
        <f t="shared" si="18"/>
        <v>14</v>
      </c>
      <c r="Q22" s="46" t="str">
        <f t="shared" si="19"/>
        <v>14</v>
      </c>
      <c r="R22" s="46" t="str">
        <f t="shared" si="20"/>
        <v>71</v>
      </c>
      <c r="S22" s="47" t="str">
        <f t="shared" si="21"/>
        <v>0.5</v>
      </c>
      <c r="T22" s="3"/>
    </row>
    <row r="23" ht="15.75" customHeight="1">
      <c r="A23" s="3"/>
      <c r="B23" s="3"/>
      <c r="C23" s="3"/>
      <c r="D23" s="3"/>
      <c r="E23" s="3"/>
      <c r="F23" s="82" t="s">
        <v>45</v>
      </c>
      <c r="G23" s="83">
        <v>168.3</v>
      </c>
      <c r="H23" s="84" t="str">
        <f t="shared" ref="H23:K23" si="29">((($G23+H$13)*3.1415)+(H$13*2))/1000</f>
        <v>0.596</v>
      </c>
      <c r="I23" s="85" t="str">
        <f t="shared" si="29"/>
        <v>0.657</v>
      </c>
      <c r="J23" s="85" t="str">
        <f t="shared" si="29"/>
        <v>0.724</v>
      </c>
      <c r="K23" s="86" t="str">
        <f t="shared" si="29"/>
        <v>0.791</v>
      </c>
      <c r="L23" s="53">
        <v>1.0</v>
      </c>
      <c r="M23" s="87" t="str">
        <f t="shared" si="15"/>
        <v>0.79</v>
      </c>
      <c r="N23" s="88" t="str">
        <f t="shared" si="16"/>
        <v>1.03</v>
      </c>
      <c r="O23" s="89" t="str">
        <f t="shared" si="17"/>
        <v>0.95</v>
      </c>
      <c r="P23" s="90" t="str">
        <f t="shared" si="18"/>
        <v>16</v>
      </c>
      <c r="Q23" s="90" t="str">
        <f t="shared" si="19"/>
        <v>16</v>
      </c>
      <c r="R23" s="90" t="str">
        <f t="shared" si="20"/>
        <v>79</v>
      </c>
      <c r="S23" s="91" t="str">
        <f t="shared" si="21"/>
        <v>0.5</v>
      </c>
      <c r="T23" s="3"/>
    </row>
    <row r="24" ht="15.75" customHeight="1">
      <c r="B24" s="3"/>
      <c r="C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B25" s="3"/>
      <c r="C25" s="3"/>
      <c r="E25" s="3"/>
      <c r="F25" s="3"/>
      <c r="G25" s="3"/>
      <c r="H25" s="3"/>
      <c r="I25" s="3"/>
      <c r="J25" s="3"/>
      <c r="K25" s="3"/>
      <c r="L25" s="3"/>
      <c r="M25" s="3"/>
      <c r="N25" s="92"/>
      <c r="O25" s="3"/>
      <c r="P25" s="3"/>
      <c r="Q25" s="3"/>
      <c r="R25" s="3"/>
      <c r="S25" s="3"/>
      <c r="T25" s="3"/>
    </row>
    <row r="26" ht="15.75" customHeight="1">
      <c r="B26" s="3"/>
      <c r="C26" s="3"/>
      <c r="E26" s="3"/>
      <c r="F26" s="3"/>
      <c r="G26" s="3"/>
      <c r="H26" s="3"/>
      <c r="I26" s="3"/>
      <c r="J26" s="3"/>
      <c r="K26" s="3"/>
      <c r="L26" s="3"/>
      <c r="M26" s="3"/>
      <c r="N26" s="92"/>
      <c r="O26" s="3"/>
      <c r="P26" s="3"/>
      <c r="Q26" s="3"/>
      <c r="R26" s="3"/>
      <c r="S26" s="3"/>
      <c r="T26" s="3"/>
    </row>
    <row r="27" ht="15.75" customHeight="1">
      <c r="B27" s="3"/>
      <c r="C27" s="3"/>
      <c r="E27" s="3"/>
      <c r="F27" s="3"/>
      <c r="G27" s="3"/>
      <c r="H27" s="3"/>
      <c r="I27" s="3"/>
      <c r="J27" s="3"/>
      <c r="K27" s="3"/>
      <c r="L27" s="3"/>
      <c r="M27" s="3"/>
      <c r="N27" s="92"/>
      <c r="O27" s="3"/>
      <c r="P27" s="3"/>
      <c r="Q27" s="3"/>
      <c r="R27" s="3"/>
      <c r="S27" s="3"/>
      <c r="T27" s="3"/>
    </row>
    <row r="28" ht="15.75" customHeight="1">
      <c r="B28" s="3"/>
      <c r="C28" s="3"/>
      <c r="E28" s="3"/>
      <c r="F28" s="3"/>
      <c r="G28" s="3"/>
      <c r="H28" s="3"/>
      <c r="I28" s="3"/>
      <c r="J28" s="3"/>
      <c r="K28" s="3"/>
      <c r="L28" s="3"/>
      <c r="M28" s="3"/>
      <c r="N28" s="92"/>
      <c r="O28" s="3"/>
      <c r="P28" s="3"/>
      <c r="Q28" s="3"/>
      <c r="R28" s="3"/>
      <c r="S28" s="3"/>
      <c r="T28" s="3"/>
    </row>
    <row r="29" ht="15.75" customHeight="1">
      <c r="B29" s="3"/>
      <c r="C29" s="3"/>
      <c r="E29" s="3"/>
      <c r="F29" s="3"/>
      <c r="G29" s="3"/>
      <c r="H29" s="3"/>
      <c r="I29" s="3"/>
      <c r="J29" s="3"/>
      <c r="K29" s="3"/>
      <c r="L29" s="3"/>
      <c r="M29" s="3"/>
      <c r="N29" s="92"/>
      <c r="O29" s="3"/>
      <c r="P29" s="3"/>
      <c r="Q29" s="3"/>
      <c r="R29" s="3"/>
      <c r="S29" s="3"/>
      <c r="T29" s="3"/>
    </row>
    <row r="30" ht="15.75" customHeight="1">
      <c r="B30" s="3"/>
      <c r="C30" s="3"/>
      <c r="E30" s="3"/>
      <c r="F30" s="3"/>
      <c r="G30" s="3"/>
      <c r="H30" s="3"/>
      <c r="I30" s="3"/>
      <c r="J30" s="3"/>
      <c r="K30" s="3"/>
      <c r="L30" s="3"/>
      <c r="M30" s="3"/>
      <c r="N30" s="92"/>
      <c r="O30" s="3"/>
      <c r="P30" s="3"/>
      <c r="Q30" s="3"/>
      <c r="R30" s="3"/>
      <c r="S30" s="3"/>
      <c r="T30" s="3"/>
    </row>
    <row r="31" ht="15.75" customHeight="1">
      <c r="E31" s="3"/>
      <c r="F31" s="3"/>
      <c r="G31" s="93" t="s">
        <v>46</v>
      </c>
      <c r="H31" s="3"/>
      <c r="I31" s="3"/>
      <c r="J31" s="3"/>
      <c r="K31" s="3"/>
      <c r="L31" s="3"/>
      <c r="M31" s="3"/>
      <c r="N31" s="92"/>
      <c r="O31" s="3"/>
      <c r="P31" s="3"/>
      <c r="Q31" s="3"/>
      <c r="R31" s="3"/>
      <c r="S31" s="3"/>
      <c r="T31" s="3"/>
    </row>
    <row r="32" ht="15.75" customHeight="1">
      <c r="E32" s="3"/>
      <c r="F32" s="3"/>
      <c r="G32" s="3"/>
      <c r="H32" s="3"/>
      <c r="I32" s="3"/>
      <c r="J32" s="3"/>
      <c r="K32" s="3"/>
      <c r="L32" s="3"/>
      <c r="M32" s="3"/>
      <c r="N32" s="92"/>
      <c r="O32" s="3"/>
      <c r="P32" s="3"/>
      <c r="Q32" s="3"/>
      <c r="R32" s="3"/>
      <c r="S32" s="3"/>
      <c r="T32" s="3"/>
    </row>
    <row r="33" ht="15.75" customHeight="1">
      <c r="E33" s="3"/>
      <c r="F33" s="3"/>
      <c r="G33" s="3"/>
      <c r="H33" s="3"/>
      <c r="I33" s="3"/>
      <c r="J33" s="3"/>
      <c r="K33" s="3"/>
      <c r="L33" s="3"/>
      <c r="M33" s="3"/>
      <c r="N33" s="92"/>
      <c r="O33" s="3"/>
      <c r="P33" s="3"/>
      <c r="Q33" s="3"/>
      <c r="R33" s="3"/>
      <c r="S33" s="3"/>
      <c r="T33" s="3"/>
    </row>
    <row r="34" ht="15.75" customHeight="1">
      <c r="E34" s="3"/>
      <c r="F34" s="3"/>
      <c r="G34" s="3"/>
      <c r="H34" s="3"/>
      <c r="I34" s="3"/>
      <c r="J34" s="3"/>
      <c r="K34" s="3"/>
      <c r="L34" s="3"/>
      <c r="M34" s="3"/>
      <c r="N34" s="92"/>
      <c r="O34" s="3"/>
      <c r="P34" s="3"/>
      <c r="Q34" s="3"/>
      <c r="R34" s="3"/>
      <c r="S34" s="3"/>
      <c r="T34" s="3"/>
    </row>
    <row r="35" ht="15.75" customHeight="1">
      <c r="N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H12:K12"/>
    <mergeCell ref="L12:M12"/>
    <mergeCell ref="B12:C12"/>
    <mergeCell ref="G12:G13"/>
    <mergeCell ref="B2:C2"/>
    <mergeCell ref="G2:S2"/>
    <mergeCell ref="L3:M3"/>
    <mergeCell ref="N3:S3"/>
    <mergeCell ref="B15:D15"/>
    <mergeCell ref="B4:C4"/>
    <mergeCell ref="H3:K3"/>
    <mergeCell ref="N12:S12"/>
    <mergeCell ref="G3:G4"/>
    <mergeCell ref="G11:S11"/>
  </mergeCells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ISOLA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2025-05-30T11:41:37Z</dcterms:created>
  <dc:creator>Gabryel Almeida dos Santos Venzel</dc:creator>
  <cp:lastModifiedBy>Gabryel Almeida dos Santos Venzel</cp:lastModifiedBy>
  <dcterms:modified xsi:type="dcterms:W3CDTF">2025-12-22T12:03:59Z</dcterms:modified>
</cp:coreProperties>
</file>